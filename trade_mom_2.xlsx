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ổ Lệnh" sheetId="1" r:id="rId4"/>
    <sheet state="visible" name="Bảng Xếp Hạng" sheetId="2" r:id="rId5"/>
    <sheet state="visible" name="Bảng Giá" sheetId="3" r:id="rId6"/>
  </sheets>
  <definedNames>
    <definedName hidden="1" localSheetId="0" name="_xlnm._FilterDatabase">'Sổ Lệnh'!$A$3:$G$12</definedName>
  </definedNames>
  <calcPr/>
  <extLst>
    <ext uri="GoogleSheetsCustomDataVersion2">
      <go:sheetsCustomData xmlns:go="http://customooxmlschemas.google.com/" r:id="rId7" roundtripDataChecksum="YAU+Paj4WkOC/5r6VaEl6nnczr2B1O85CuA35yFsi9E="/>
    </ext>
  </extLst>
</workbook>
</file>

<file path=xl/sharedStrings.xml><?xml version="1.0" encoding="utf-8"?>
<sst xmlns="http://schemas.openxmlformats.org/spreadsheetml/2006/main" count="174" uniqueCount="69">
  <si>
    <t>CUỘC THI TRADE MÕM</t>
  </si>
  <si>
    <t>Note</t>
  </si>
  <si>
    <t>#</t>
  </si>
  <si>
    <t>Người chơi</t>
  </si>
  <si>
    <t>Mã CK</t>
  </si>
  <si>
    <t>KL</t>
  </si>
  <si>
    <t>Loại lệnh</t>
  </si>
  <si>
    <t>Giá mua</t>
  </si>
  <si>
    <t>Giá trị</t>
  </si>
  <si>
    <t>Ngày giao dịch</t>
  </si>
  <si>
    <t>Actionable</t>
  </si>
  <si>
    <t>Trạng thái</t>
  </si>
  <si>
    <t>Phí GD</t>
  </si>
  <si>
    <t>Sức mua</t>
  </si>
  <si>
    <t>SL</t>
  </si>
  <si>
    <t>TP1</t>
  </si>
  <si>
    <t>TP2</t>
  </si>
  <si>
    <t>R:R</t>
  </si>
  <si>
    <t>Note 1</t>
  </si>
  <si>
    <t>Note 2</t>
  </si>
  <si>
    <t>Tai T Nguyen</t>
  </si>
  <si>
    <t>TPB</t>
  </si>
  <si>
    <t>ATC</t>
  </si>
  <si>
    <t>25/03/2026</t>
  </si>
  <si>
    <t>Holding</t>
  </si>
  <si>
    <t>VIC</t>
  </si>
  <si>
    <t>Chị Ngọc</t>
  </si>
  <si>
    <t>FPT</t>
  </si>
  <si>
    <t>Hanh</t>
  </si>
  <si>
    <t>VSC</t>
  </si>
  <si>
    <t>MBB</t>
  </si>
  <si>
    <t>DGC</t>
  </si>
  <si>
    <t>Ngô Quang Hiệp</t>
  </si>
  <si>
    <t>GVR</t>
  </si>
  <si>
    <t>Phương</t>
  </si>
  <si>
    <t>VGI</t>
  </si>
  <si>
    <t>LO</t>
  </si>
  <si>
    <t>Short Rally</t>
  </si>
  <si>
    <t>Trade mõm nên đánh liều</t>
  </si>
  <si>
    <t>Chart đẹp (VGI lái đánh theo MACD)</t>
  </si>
  <si>
    <t>FOX</t>
  </si>
  <si>
    <t>Chart đẹp</t>
  </si>
  <si>
    <t>VGC</t>
  </si>
  <si>
    <t>26/03/2026</t>
  </si>
  <si>
    <t>HHV</t>
  </si>
  <si>
    <t>VPX</t>
  </si>
  <si>
    <t>NTL</t>
  </si>
  <si>
    <t xml:space="preserve">Đú theo sóng BDS test </t>
  </si>
  <si>
    <t xml:space="preserve">Dự án Cầu Giấy </t>
  </si>
  <si>
    <t>BSR</t>
  </si>
  <si>
    <t>DXG</t>
  </si>
  <si>
    <t>CII</t>
  </si>
  <si>
    <t>27/03/2026</t>
  </si>
  <si>
    <t>Trend DTC, đang tiếng hành giải tỏa đất thủ thiêm</t>
  </si>
  <si>
    <t>MWG</t>
  </si>
  <si>
    <t>VPB</t>
  </si>
  <si>
    <t>30/03/2026</t>
  </si>
  <si>
    <t>MSB</t>
  </si>
  <si>
    <t>BẢNG XẾP HẠNG</t>
  </si>
  <si>
    <t>STT</t>
  </si>
  <si>
    <t>Số lệnh</t>
  </si>
  <si>
    <t>Tổng đầu tư</t>
  </si>
  <si>
    <t>Tiền mặt còn lại</t>
  </si>
  <si>
    <t>Giá trị DM hiện tại</t>
  </si>
  <si>
    <t>Tổng Tài Sản</t>
  </si>
  <si>
    <t>BẢNG GIÁ THEO DÕI</t>
  </si>
  <si>
    <t>Giá</t>
  </si>
  <si>
    <t>Giá hiện tại</t>
  </si>
  <si>
    <t>% Thay đổi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</si>
</sst>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1.0"/>
      <color theme="1"/>
      <name val="Calibri"/>
      <scheme val="minor"/>
    </font>
    <font>
      <b/>
      <sz val="14.0"/>
      <color rgb="FF1F4E79"/>
      <name val="Arial"/>
    </font>
    <font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sz val="11.0"/>
      <color theme="1"/>
      <name val="Arial"/>
    </font>
    <font>
      <color theme="1"/>
      <name val="&quot;Google Sans Mono&quot;"/>
    </font>
    <font>
      <color theme="1"/>
      <name val="Calibri"/>
      <scheme val="minor"/>
    </font>
    <font>
      <b/>
      <sz val="11.0"/>
      <color rgb="FFFFFFFF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0F4F9"/>
        <bgColor rgb="FFF0F4F9"/>
      </patternFill>
    </fill>
    <fill>
      <patternFill patternType="solid">
        <fgColor rgb="FF1F4E79"/>
        <bgColor rgb="FF1F4E7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4" xfId="0" applyAlignment="1" applyBorder="1" applyFont="1" applyNumberFormat="1">
      <alignment horizontal="center" shrinkToFit="0" vertical="center" wrapText="0"/>
    </xf>
    <xf borderId="1" fillId="2" fontId="3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3" xfId="0" applyAlignment="1" applyBorder="1" applyFont="1" applyNumberFormat="1">
      <alignment horizontal="center" shrinkToFit="0" vertical="center" wrapText="0"/>
    </xf>
    <xf borderId="1" fillId="0" fontId="5" numFmtId="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/>
    </xf>
    <xf borderId="1" fillId="3" fontId="6" numFmtId="0" xfId="0" applyBorder="1" applyFill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2" numFmtId="4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3" xfId="0" applyAlignment="1" applyBorder="1" applyFont="1" applyNumberFormat="1">
      <alignment horizontal="center" shrinkToFit="0" vertical="center" wrapText="0"/>
    </xf>
    <xf borderId="1" fillId="0" fontId="9" numFmtId="3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/>
    </xf>
    <xf borderId="1" fillId="4" fontId="8" numFmtId="0" xfId="0" applyAlignment="1" applyBorder="1" applyFill="1" applyFont="1">
      <alignment horizontal="center" shrinkToFit="0" vertical="center" wrapText="0"/>
    </xf>
    <xf borderId="1" fillId="4" fontId="8" numFmtId="4" xfId="0" applyAlignment="1" applyBorder="1" applyFont="1" applyNumberFormat="1">
      <alignment horizontal="center" readingOrder="0" shrinkToFit="0" vertical="center" wrapText="0"/>
    </xf>
    <xf borderId="1" fillId="4" fontId="8" numFmtId="4" xfId="0" applyAlignment="1" applyBorder="1" applyFont="1" applyNumberFormat="1">
      <alignment horizontal="center" shrinkToFit="0" vertical="center" wrapText="0"/>
    </xf>
    <xf borderId="1" fillId="0" fontId="5" numFmtId="10" xfId="0" applyAlignment="1" applyBorder="1" applyFont="1" applyNumberFormat="1">
      <alignment horizontal="center" shrinkToFit="0" vertical="center" wrapText="0"/>
    </xf>
    <xf borderId="1" fillId="5" fontId="2" numFmtId="4" xfId="0" applyAlignment="1" applyBorder="1" applyFill="1" applyFont="1" applyNumberFormat="1">
      <alignment horizontal="center" readingOrder="0"/>
    </xf>
    <xf borderId="1" fillId="5" fontId="5" numFmtId="10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readingOrder="0"/>
    </xf>
    <xf borderId="1" fillId="0" fontId="2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6.71"/>
    <col customWidth="1" min="3" max="3" width="11.14"/>
    <col customWidth="1" min="4" max="4" width="10.0"/>
    <col customWidth="1" min="5" max="5" width="12.0"/>
    <col customWidth="1" min="6" max="6" width="16.0"/>
    <col customWidth="1" min="7" max="7" width="18.0"/>
    <col customWidth="1" min="8" max="8" width="18.57"/>
    <col customWidth="1" min="9" max="9" width="14.29"/>
    <col customWidth="1" min="10" max="10" width="13.0"/>
    <col customWidth="1" min="11" max="11" width="8.14"/>
    <col customWidth="1" min="12" max="12" width="18.71"/>
    <col customWidth="1" min="13" max="16" width="8.14"/>
    <col customWidth="1" min="17" max="17" width="31.14"/>
    <col customWidth="1" min="18" max="18" width="45.71"/>
    <col customWidth="1" min="19" max="19" width="40.14"/>
    <col customWidth="1" min="20" max="30" width="8.71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/>
      <c r="C2" s="2"/>
      <c r="D2" s="2"/>
      <c r="E2" s="2"/>
      <c r="F2" s="3"/>
      <c r="G2" s="2"/>
      <c r="H2" s="4"/>
      <c r="I2" s="2"/>
      <c r="J2" s="2"/>
      <c r="K2" s="2"/>
      <c r="L2" s="2"/>
      <c r="M2" s="2"/>
      <c r="N2" s="2"/>
      <c r="O2" s="2"/>
      <c r="P2" s="2"/>
      <c r="Q2" s="5" t="s">
        <v>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6" t="s">
        <v>8</v>
      </c>
      <c r="H3" s="8" t="s">
        <v>9</v>
      </c>
      <c r="I3" s="9" t="s">
        <v>10</v>
      </c>
      <c r="J3" s="9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5" t="s">
        <v>18</v>
      </c>
      <c r="R3" s="5" t="s">
        <v>19</v>
      </c>
      <c r="S3" s="5" t="s">
        <v>19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2">
        <v>1.0</v>
      </c>
      <c r="B4" s="12" t="s">
        <v>20</v>
      </c>
      <c r="C4" s="12" t="s">
        <v>21</v>
      </c>
      <c r="D4" s="13">
        <v>5000.0</v>
      </c>
      <c r="E4" s="12" t="s">
        <v>22</v>
      </c>
      <c r="F4" s="14">
        <v>16.15</v>
      </c>
      <c r="G4" s="13">
        <f t="shared" ref="G4:G24" si="1">IF(F4="","",D4*F4)</f>
        <v>80750</v>
      </c>
      <c r="H4" s="15" t="s">
        <v>23</v>
      </c>
      <c r="I4" s="16" t="b">
        <f t="shared" ref="I4:I24" si="2">TODAY() &gt;= DATE(RIGHT(H4, 4), MID(H4, 4, 2), LEFT(H4, 2)) + 2</f>
        <v>1</v>
      </c>
      <c r="J4" s="15" t="s">
        <v>24</v>
      </c>
      <c r="K4" s="17">
        <f t="shared" ref="K4:K24" si="3">G4 * 0.001</f>
        <v>80.75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2">
        <v>2.0</v>
      </c>
      <c r="B5" s="12" t="s">
        <v>20</v>
      </c>
      <c r="C5" s="12" t="s">
        <v>25</v>
      </c>
      <c r="D5" s="13">
        <v>1000.0</v>
      </c>
      <c r="E5" s="12" t="s">
        <v>22</v>
      </c>
      <c r="F5" s="14">
        <v>128.7</v>
      </c>
      <c r="G5" s="13">
        <f t="shared" si="1"/>
        <v>128700</v>
      </c>
      <c r="H5" s="18" t="s">
        <v>23</v>
      </c>
      <c r="I5" s="16" t="b">
        <f t="shared" si="2"/>
        <v>1</v>
      </c>
      <c r="J5" s="15" t="s">
        <v>24</v>
      </c>
      <c r="K5" s="17">
        <f t="shared" si="3"/>
        <v>128.7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2">
        <v>3.0</v>
      </c>
      <c r="B6" s="12" t="s">
        <v>26</v>
      </c>
      <c r="C6" s="12" t="s">
        <v>27</v>
      </c>
      <c r="D6" s="13">
        <v>3000.0</v>
      </c>
      <c r="E6" s="12" t="s">
        <v>22</v>
      </c>
      <c r="F6" s="14">
        <v>77.0</v>
      </c>
      <c r="G6" s="13">
        <f t="shared" si="1"/>
        <v>231000</v>
      </c>
      <c r="H6" s="18" t="s">
        <v>23</v>
      </c>
      <c r="I6" s="16" t="b">
        <f t="shared" si="2"/>
        <v>1</v>
      </c>
      <c r="J6" s="15" t="s">
        <v>24</v>
      </c>
      <c r="K6" s="17">
        <f t="shared" si="3"/>
        <v>231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2">
        <v>4.0</v>
      </c>
      <c r="B7" s="19" t="s">
        <v>28</v>
      </c>
      <c r="C7" s="12" t="s">
        <v>29</v>
      </c>
      <c r="D7" s="13">
        <v>5000.0</v>
      </c>
      <c r="E7" s="12" t="s">
        <v>22</v>
      </c>
      <c r="F7" s="14">
        <v>23.95</v>
      </c>
      <c r="G7" s="13">
        <f t="shared" si="1"/>
        <v>119750</v>
      </c>
      <c r="H7" s="18" t="s">
        <v>23</v>
      </c>
      <c r="I7" s="16" t="b">
        <f t="shared" si="2"/>
        <v>1</v>
      </c>
      <c r="J7" s="15" t="s">
        <v>24</v>
      </c>
      <c r="K7" s="17">
        <f t="shared" si="3"/>
        <v>119.75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2">
        <v>5.0</v>
      </c>
      <c r="B8" s="19" t="s">
        <v>28</v>
      </c>
      <c r="C8" s="12" t="s">
        <v>30</v>
      </c>
      <c r="D8" s="13">
        <v>5000.0</v>
      </c>
      <c r="E8" s="12" t="s">
        <v>22</v>
      </c>
      <c r="F8" s="14">
        <v>26.0</v>
      </c>
      <c r="G8" s="13">
        <f t="shared" si="1"/>
        <v>130000</v>
      </c>
      <c r="H8" s="18" t="s">
        <v>23</v>
      </c>
      <c r="I8" s="16" t="b">
        <f t="shared" si="2"/>
        <v>1</v>
      </c>
      <c r="J8" s="15" t="s">
        <v>24</v>
      </c>
      <c r="K8" s="17">
        <f t="shared" si="3"/>
        <v>130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2">
        <v>6.0</v>
      </c>
      <c r="B9" s="12" t="s">
        <v>26</v>
      </c>
      <c r="C9" s="12" t="s">
        <v>31</v>
      </c>
      <c r="D9" s="13">
        <v>3000.0</v>
      </c>
      <c r="E9" s="12" t="s">
        <v>22</v>
      </c>
      <c r="F9" s="14">
        <v>54.7</v>
      </c>
      <c r="G9" s="13">
        <f t="shared" si="1"/>
        <v>164100</v>
      </c>
      <c r="H9" s="18" t="s">
        <v>23</v>
      </c>
      <c r="I9" s="16" t="b">
        <f t="shared" si="2"/>
        <v>1</v>
      </c>
      <c r="J9" s="15" t="s">
        <v>24</v>
      </c>
      <c r="K9" s="17">
        <f t="shared" si="3"/>
        <v>164.1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2">
        <v>7.0</v>
      </c>
      <c r="B10" s="12" t="s">
        <v>32</v>
      </c>
      <c r="C10" s="12" t="s">
        <v>33</v>
      </c>
      <c r="D10" s="13">
        <v>5000.0</v>
      </c>
      <c r="E10" s="12" t="s">
        <v>22</v>
      </c>
      <c r="F10" s="14">
        <v>30.5</v>
      </c>
      <c r="G10" s="13">
        <f t="shared" si="1"/>
        <v>152500</v>
      </c>
      <c r="H10" s="18" t="s">
        <v>23</v>
      </c>
      <c r="I10" s="16" t="b">
        <f t="shared" si="2"/>
        <v>1</v>
      </c>
      <c r="J10" s="15" t="s">
        <v>24</v>
      </c>
      <c r="K10" s="17">
        <f t="shared" si="3"/>
        <v>152.5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5">
        <v>8.0</v>
      </c>
      <c r="B11" s="15" t="s">
        <v>34</v>
      </c>
      <c r="C11" s="15" t="s">
        <v>35</v>
      </c>
      <c r="D11" s="15">
        <v>5000.0</v>
      </c>
      <c r="E11" s="15" t="s">
        <v>36</v>
      </c>
      <c r="F11" s="20">
        <v>87.4</v>
      </c>
      <c r="G11" s="13">
        <f t="shared" si="1"/>
        <v>437000</v>
      </c>
      <c r="H11" s="18" t="s">
        <v>23</v>
      </c>
      <c r="I11" s="16" t="b">
        <f t="shared" si="2"/>
        <v>1</v>
      </c>
      <c r="J11" s="15" t="s">
        <v>24</v>
      </c>
      <c r="K11" s="17">
        <f t="shared" si="3"/>
        <v>437</v>
      </c>
      <c r="L11" s="2"/>
      <c r="M11" s="2"/>
      <c r="N11" s="2"/>
      <c r="O11" s="2"/>
      <c r="P11" s="2"/>
      <c r="Q11" s="5" t="s">
        <v>37</v>
      </c>
      <c r="R11" s="5" t="s">
        <v>38</v>
      </c>
      <c r="S11" s="5" t="s">
        <v>39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5">
        <v>9.0</v>
      </c>
      <c r="B12" s="15" t="s">
        <v>34</v>
      </c>
      <c r="C12" s="15" t="s">
        <v>40</v>
      </c>
      <c r="D12" s="15">
        <v>5000.0</v>
      </c>
      <c r="E12" s="15" t="s">
        <v>36</v>
      </c>
      <c r="F12" s="20">
        <v>79.1</v>
      </c>
      <c r="G12" s="13">
        <f t="shared" si="1"/>
        <v>395500</v>
      </c>
      <c r="H12" s="18" t="s">
        <v>23</v>
      </c>
      <c r="I12" s="16" t="b">
        <f t="shared" si="2"/>
        <v>1</v>
      </c>
      <c r="J12" s="15" t="s">
        <v>24</v>
      </c>
      <c r="K12" s="17">
        <f t="shared" si="3"/>
        <v>395.5</v>
      </c>
      <c r="L12" s="2"/>
      <c r="M12" s="5">
        <v>76.0</v>
      </c>
      <c r="N12" s="5">
        <v>85.0</v>
      </c>
      <c r="O12" s="5">
        <v>90.0</v>
      </c>
      <c r="P12" s="5"/>
      <c r="Q12" s="5" t="s">
        <v>37</v>
      </c>
      <c r="R12" s="5" t="s">
        <v>38</v>
      </c>
      <c r="S12" s="5" t="s">
        <v>41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5">
        <v>10.0</v>
      </c>
      <c r="B13" s="15" t="s">
        <v>28</v>
      </c>
      <c r="C13" s="15" t="s">
        <v>42</v>
      </c>
      <c r="D13" s="15">
        <v>1000.0</v>
      </c>
      <c r="E13" s="15" t="s">
        <v>36</v>
      </c>
      <c r="F13" s="20">
        <v>45.0</v>
      </c>
      <c r="G13" s="13">
        <f t="shared" si="1"/>
        <v>45000</v>
      </c>
      <c r="H13" s="15" t="s">
        <v>43</v>
      </c>
      <c r="I13" s="16" t="b">
        <f t="shared" si="2"/>
        <v>1</v>
      </c>
      <c r="J13" s="15" t="s">
        <v>24</v>
      </c>
      <c r="K13" s="17">
        <f t="shared" si="3"/>
        <v>45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5">
        <v>11.0</v>
      </c>
      <c r="B14" s="15" t="s">
        <v>28</v>
      </c>
      <c r="C14" s="15" t="s">
        <v>44</v>
      </c>
      <c r="D14" s="15">
        <v>10000.0</v>
      </c>
      <c r="E14" s="15" t="s">
        <v>36</v>
      </c>
      <c r="F14" s="20">
        <v>12.05</v>
      </c>
      <c r="G14" s="13">
        <f t="shared" si="1"/>
        <v>120500</v>
      </c>
      <c r="H14" s="15" t="s">
        <v>43</v>
      </c>
      <c r="I14" s="16" t="b">
        <f t="shared" si="2"/>
        <v>1</v>
      </c>
      <c r="J14" s="15" t="s">
        <v>24</v>
      </c>
      <c r="K14" s="17">
        <f t="shared" si="3"/>
        <v>120.5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5">
        <v>12.0</v>
      </c>
      <c r="B15" s="15" t="s">
        <v>28</v>
      </c>
      <c r="C15" s="15" t="s">
        <v>45</v>
      </c>
      <c r="D15" s="15">
        <v>2000.0</v>
      </c>
      <c r="E15" s="15" t="s">
        <v>36</v>
      </c>
      <c r="F15" s="20">
        <v>29.5</v>
      </c>
      <c r="G15" s="13">
        <f t="shared" si="1"/>
        <v>59000</v>
      </c>
      <c r="H15" s="15" t="s">
        <v>43</v>
      </c>
      <c r="I15" s="16" t="b">
        <f t="shared" si="2"/>
        <v>1</v>
      </c>
      <c r="J15" s="15" t="s">
        <v>24</v>
      </c>
      <c r="K15" s="17">
        <f t="shared" si="3"/>
        <v>59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5">
        <v>13.0</v>
      </c>
      <c r="B16" s="15" t="s">
        <v>34</v>
      </c>
      <c r="C16" s="15" t="s">
        <v>46</v>
      </c>
      <c r="D16" s="15">
        <v>5000.0</v>
      </c>
      <c r="E16" s="15" t="s">
        <v>36</v>
      </c>
      <c r="F16" s="20">
        <v>19.5</v>
      </c>
      <c r="G16" s="13">
        <f t="shared" si="1"/>
        <v>97500</v>
      </c>
      <c r="H16" s="15" t="s">
        <v>43</v>
      </c>
      <c r="I16" s="16" t="b">
        <f t="shared" si="2"/>
        <v>1</v>
      </c>
      <c r="J16" s="15" t="s">
        <v>24</v>
      </c>
      <c r="K16" s="17">
        <f t="shared" si="3"/>
        <v>97.5</v>
      </c>
      <c r="L16" s="5"/>
      <c r="M16" s="2"/>
      <c r="N16" s="2"/>
      <c r="O16" s="2"/>
      <c r="P16" s="2"/>
      <c r="Q16" s="5" t="s">
        <v>37</v>
      </c>
      <c r="R16" s="5" t="s">
        <v>47</v>
      </c>
      <c r="S16" s="5" t="s">
        <v>48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5">
        <v>14.0</v>
      </c>
      <c r="B17" s="12" t="s">
        <v>20</v>
      </c>
      <c r="C17" s="15" t="s">
        <v>49</v>
      </c>
      <c r="D17" s="15">
        <v>5000.0</v>
      </c>
      <c r="E17" s="15" t="s">
        <v>36</v>
      </c>
      <c r="F17" s="20">
        <v>27.4</v>
      </c>
      <c r="G17" s="13">
        <f t="shared" si="1"/>
        <v>137000</v>
      </c>
      <c r="H17" s="15" t="s">
        <v>43</v>
      </c>
      <c r="I17" s="21" t="b">
        <f t="shared" si="2"/>
        <v>1</v>
      </c>
      <c r="J17" s="15" t="s">
        <v>24</v>
      </c>
      <c r="K17" s="17">
        <f t="shared" si="3"/>
        <v>137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5">
        <v>15.0</v>
      </c>
      <c r="B18" s="12" t="s">
        <v>26</v>
      </c>
      <c r="C18" s="15" t="s">
        <v>50</v>
      </c>
      <c r="D18" s="15">
        <v>5000.0</v>
      </c>
      <c r="E18" s="15" t="s">
        <v>36</v>
      </c>
      <c r="F18" s="20">
        <v>13.9</v>
      </c>
      <c r="G18" s="13">
        <f t="shared" si="1"/>
        <v>69500</v>
      </c>
      <c r="H18" s="15" t="s">
        <v>43</v>
      </c>
      <c r="I18" s="21" t="b">
        <f t="shared" si="2"/>
        <v>1</v>
      </c>
      <c r="J18" s="15" t="s">
        <v>24</v>
      </c>
      <c r="K18" s="17">
        <f t="shared" si="3"/>
        <v>69.5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5">
        <v>17.0</v>
      </c>
      <c r="B19" s="15" t="s">
        <v>34</v>
      </c>
      <c r="C19" s="15" t="s">
        <v>51</v>
      </c>
      <c r="D19" s="15">
        <v>5000.0</v>
      </c>
      <c r="E19" s="15" t="s">
        <v>36</v>
      </c>
      <c r="F19" s="20">
        <v>18.5</v>
      </c>
      <c r="G19" s="13">
        <f t="shared" si="1"/>
        <v>92500</v>
      </c>
      <c r="H19" s="15" t="s">
        <v>52</v>
      </c>
      <c r="I19" s="16" t="b">
        <f t="shared" si="2"/>
        <v>1</v>
      </c>
      <c r="J19" s="15" t="s">
        <v>24</v>
      </c>
      <c r="K19" s="17">
        <f t="shared" si="3"/>
        <v>92.5</v>
      </c>
      <c r="L19" s="5"/>
      <c r="M19" s="2"/>
      <c r="N19" s="2"/>
      <c r="O19" s="2"/>
      <c r="P19" s="2"/>
      <c r="Q19" s="5" t="s">
        <v>37</v>
      </c>
      <c r="R19" s="5" t="s">
        <v>53</v>
      </c>
      <c r="S19" s="5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15">
        <v>18.0</v>
      </c>
      <c r="B20" s="15" t="s">
        <v>28</v>
      </c>
      <c r="C20" s="15" t="s">
        <v>54</v>
      </c>
      <c r="D20" s="15">
        <v>2000.0</v>
      </c>
      <c r="E20" s="15" t="s">
        <v>36</v>
      </c>
      <c r="F20" s="20">
        <v>81.2</v>
      </c>
      <c r="G20" s="13">
        <f t="shared" si="1"/>
        <v>162400</v>
      </c>
      <c r="H20" s="15" t="s">
        <v>52</v>
      </c>
      <c r="I20" s="16" t="b">
        <f t="shared" si="2"/>
        <v>1</v>
      </c>
      <c r="J20" s="15" t="s">
        <v>24</v>
      </c>
      <c r="K20" s="17">
        <f t="shared" si="3"/>
        <v>162.4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15">
        <v>19.0</v>
      </c>
      <c r="B21" s="12" t="s">
        <v>32</v>
      </c>
      <c r="C21" s="15" t="s">
        <v>55</v>
      </c>
      <c r="D21" s="15">
        <v>5000.0</v>
      </c>
      <c r="E21" s="15" t="s">
        <v>36</v>
      </c>
      <c r="F21" s="20">
        <v>26.35</v>
      </c>
      <c r="G21" s="13">
        <f t="shared" si="1"/>
        <v>131750</v>
      </c>
      <c r="H21" s="15" t="s">
        <v>52</v>
      </c>
      <c r="I21" s="16" t="b">
        <f t="shared" si="2"/>
        <v>1</v>
      </c>
      <c r="J21" s="15" t="s">
        <v>24</v>
      </c>
      <c r="K21" s="17">
        <f t="shared" si="3"/>
        <v>131.75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17"/>
      <c r="B22" s="12" t="s">
        <v>20</v>
      </c>
      <c r="C22" s="15" t="s">
        <v>25</v>
      </c>
      <c r="D22" s="15">
        <v>1000.0</v>
      </c>
      <c r="E22" s="15" t="s">
        <v>36</v>
      </c>
      <c r="F22" s="20">
        <v>128.0</v>
      </c>
      <c r="G22" s="13">
        <f t="shared" si="1"/>
        <v>128000</v>
      </c>
      <c r="H22" s="15" t="s">
        <v>56</v>
      </c>
      <c r="I22" s="16" t="b">
        <f t="shared" si="2"/>
        <v>0</v>
      </c>
      <c r="J22" s="15" t="s">
        <v>24</v>
      </c>
      <c r="K22" s="17">
        <f t="shared" si="3"/>
        <v>128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17"/>
      <c r="B23" s="12" t="s">
        <v>26</v>
      </c>
      <c r="C23" s="15" t="s">
        <v>57</v>
      </c>
      <c r="D23" s="15">
        <v>2000.0</v>
      </c>
      <c r="E23" s="15" t="s">
        <v>36</v>
      </c>
      <c r="F23" s="20">
        <v>11.25</v>
      </c>
      <c r="G23" s="13">
        <f t="shared" si="1"/>
        <v>22500</v>
      </c>
      <c r="H23" s="15" t="s">
        <v>56</v>
      </c>
      <c r="I23" s="16" t="b">
        <f t="shared" si="2"/>
        <v>0</v>
      </c>
      <c r="J23" s="15" t="s">
        <v>24</v>
      </c>
      <c r="K23" s="17">
        <f t="shared" si="3"/>
        <v>22.5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17"/>
      <c r="B24" s="15" t="s">
        <v>34</v>
      </c>
      <c r="C24" s="15" t="s">
        <v>51</v>
      </c>
      <c r="D24" s="15">
        <v>1000.0</v>
      </c>
      <c r="E24" s="15" t="s">
        <v>36</v>
      </c>
      <c r="F24" s="20">
        <v>18.7</v>
      </c>
      <c r="G24" s="13">
        <f t="shared" si="1"/>
        <v>18700</v>
      </c>
      <c r="H24" s="15" t="s">
        <v>56</v>
      </c>
      <c r="I24" s="16" t="b">
        <f t="shared" si="2"/>
        <v>0</v>
      </c>
      <c r="J24" s="15" t="s">
        <v>24</v>
      </c>
      <c r="K24" s="17">
        <f t="shared" si="3"/>
        <v>18.7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/>
      <c r="B25" s="2"/>
      <c r="C25" s="2"/>
      <c r="D25" s="2"/>
      <c r="E25" s="2"/>
      <c r="F25" s="3"/>
      <c r="G25" s="2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2"/>
      <c r="C26" s="2"/>
      <c r="D26" s="2"/>
      <c r="E26" s="2"/>
      <c r="F26" s="3"/>
      <c r="G26" s="2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/>
      <c r="B27" s="2"/>
      <c r="C27" s="2"/>
      <c r="D27" s="2"/>
      <c r="E27" s="2"/>
      <c r="F27" s="3"/>
      <c r="G27" s="2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3"/>
      <c r="G28" s="2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3"/>
      <c r="G29" s="2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F30" s="3"/>
      <c r="G30" s="2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2"/>
      <c r="F31" s="3"/>
      <c r="G31" s="2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3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3"/>
      <c r="G33" s="2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3"/>
      <c r="G34" s="2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3"/>
      <c r="G35" s="2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3"/>
      <c r="G36" s="2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3"/>
      <c r="G37" s="2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3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3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3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3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3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3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3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3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3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3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3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3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3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3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3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3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3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3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3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3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3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3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3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3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3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3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3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3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3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3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3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3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3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3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3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3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3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3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3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3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3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3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3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3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3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3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3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3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3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3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3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3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3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3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3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3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3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3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3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3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3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3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3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3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3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3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3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3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3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3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3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3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3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3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3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3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3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3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3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3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3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3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3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3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3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3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3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3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3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3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3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3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3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3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3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3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3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3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3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3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3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3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3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3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3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3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3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3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3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3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3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3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3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3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3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3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3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3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3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3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3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3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3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3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3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3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3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3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3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3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3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3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3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3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3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3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3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3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3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3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3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3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3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3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3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3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3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3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3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3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3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3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3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3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3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3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3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3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3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3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3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3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3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3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3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3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3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3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3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3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3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3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3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3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3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3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3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3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3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3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3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3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3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3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3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3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3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3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3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3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3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3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3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3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3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3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3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3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3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3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3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3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3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3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3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3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3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3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3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3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3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3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3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3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3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3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3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3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3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3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3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3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3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3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3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3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3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3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3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3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3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3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3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3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3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3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3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3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3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3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3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3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3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3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3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3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3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3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3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3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3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3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3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3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3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3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3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3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3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3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3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3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3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3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3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3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3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3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3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3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3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3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3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3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3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3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3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3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3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3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3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3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3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3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3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3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3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3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3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3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3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3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3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3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3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3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3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3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3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3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3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3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3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3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3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3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3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3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3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3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3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3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3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3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3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3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3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3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3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3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3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3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3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3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3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3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3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3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3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3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3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3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3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3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3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3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3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3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3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3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3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3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3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3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3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3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3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3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3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3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3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3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3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3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3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3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3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3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3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3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3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3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3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3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3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3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3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3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3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3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3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3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3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3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3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3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3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3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3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3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3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3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3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3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3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3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3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3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3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3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3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3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3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3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3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3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3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3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3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3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3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3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3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3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3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3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3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3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3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3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3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3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3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3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3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3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3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3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3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3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3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3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3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3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3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3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3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3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3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3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3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3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3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3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3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3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3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3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3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3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3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3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3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3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3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3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3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3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3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3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3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3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3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3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3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3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3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3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3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3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3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3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3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3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3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3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3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3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3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3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3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3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3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3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3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3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3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3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3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3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3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3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3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3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3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3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3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3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3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3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3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3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3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3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3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3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3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3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3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3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3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3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3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3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3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3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3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3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3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3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3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3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3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3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3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3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3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3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3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3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3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3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3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3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3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3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3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3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3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3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3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3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3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3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3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3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3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3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3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3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3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3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3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3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3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3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3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3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3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3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3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3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3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3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3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3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3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3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3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3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3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3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3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3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3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3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3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3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3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3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3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3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3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3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3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3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3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3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3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3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3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3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3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3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3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3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3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3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3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3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3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3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3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3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3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3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3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3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3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3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3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3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3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3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3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3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3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3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3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3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3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3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3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3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3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3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3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3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3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3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3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3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3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3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3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3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3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3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3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3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3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3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3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3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3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3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3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3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3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3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3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3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3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3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3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3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3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3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3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3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3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3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3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3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3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3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3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3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3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3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3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3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3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3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3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3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3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3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3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3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3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3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3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3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3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3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3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3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3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3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3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3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3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3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3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3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3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3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3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3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3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3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3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3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3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3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3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3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3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3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3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3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3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3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3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3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3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3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3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3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3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3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3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3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3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3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3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3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3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3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3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3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3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3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3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3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3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3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3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3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3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3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3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3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3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3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3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3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3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3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3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3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3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3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3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3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3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3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3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3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3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3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3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3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3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3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3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3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3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3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3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3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3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3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3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3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3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3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3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3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3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3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3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3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3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3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3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3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3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3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3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3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3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3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3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3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3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3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3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3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3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3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3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3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3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3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3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3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3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3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3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3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3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3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3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3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3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3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3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3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3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3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3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3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3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3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3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3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3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3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3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3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3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3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3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3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3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3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3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3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3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3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3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3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3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3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3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3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3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3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3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3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3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3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3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3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3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3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3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3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3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3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3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3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3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3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3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3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3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3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3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3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3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3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3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3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3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3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3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3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3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3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3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3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3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3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3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3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3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3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3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3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3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3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3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3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3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3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3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3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3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3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3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3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3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3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3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3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3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3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3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3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3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3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3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3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3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3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3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3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3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3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3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3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3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3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3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3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3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3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3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3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3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3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3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3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3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3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3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3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3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3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3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3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3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3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3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3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3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3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3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3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3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3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3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3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3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3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3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3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3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3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3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3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3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</sheetData>
  <autoFilter ref="$A$3:$G$12"/>
  <mergeCells count="2">
    <mergeCell ref="A1:J1"/>
    <mergeCell ref="Q2:S2"/>
  </mergeCells>
  <dataValidations>
    <dataValidation type="list" allowBlank="1" showErrorMessage="1" sqref="E4:E24">
      <formula1>"ATC,LO"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12.0"/>
    <col customWidth="1" min="4" max="4" width="20.0"/>
    <col customWidth="1" min="5" max="6" width="22.0"/>
    <col customWidth="1" min="7" max="7" width="15.29"/>
    <col customWidth="1" min="8" max="23" width="8.71"/>
  </cols>
  <sheetData>
    <row r="1">
      <c r="A1" s="1" t="s">
        <v>58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>
      <c r="A3" s="23" t="s">
        <v>59</v>
      </c>
      <c r="B3" s="24" t="s">
        <v>3</v>
      </c>
      <c r="C3" s="24" t="s">
        <v>60</v>
      </c>
      <c r="D3" s="24" t="s">
        <v>61</v>
      </c>
      <c r="E3" s="24" t="s">
        <v>62</v>
      </c>
      <c r="F3" s="24" t="s">
        <v>63</v>
      </c>
      <c r="G3" s="11" t="s">
        <v>64</v>
      </c>
      <c r="H3" s="25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>
      <c r="A4" s="26">
        <v>1.0</v>
      </c>
      <c r="B4" s="26" t="s">
        <v>20</v>
      </c>
      <c r="C4" s="26">
        <f>COUNTIF('Sổ Lệnh'!B:B,B4)</f>
        <v>4</v>
      </c>
      <c r="D4" s="27">
        <f>SUMIF('Sổ Lệnh'!B:B,B4,'Sổ Lệnh'!G:G)</f>
        <v>474450</v>
      </c>
      <c r="E4" s="28">
        <f>1000000-D4-SUMIF('Sổ Lệnh'!B:B,B4,'Sổ Lệnh'!K:K)</f>
        <v>525075.55</v>
      </c>
      <c r="F4" s="28">
        <f>SUMPRODUCT(('Sổ Lệnh'!B$4:B$994=B4)*('Sổ Lệnh'!D$4:D$994)*IFERROR(VLOOKUP('Sổ Lệnh'!C$4:C$994,'Bảng Giá'!A:C,3,FALSE()),0))</f>
        <v>480750</v>
      </c>
      <c r="G4" s="28">
        <f t="shared" ref="G4:G8" si="1">E4 + F4</f>
        <v>1005825.55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>
      <c r="A5" s="26">
        <v>2.0</v>
      </c>
      <c r="B5" s="26" t="s">
        <v>26</v>
      </c>
      <c r="C5" s="26">
        <f>COUNTIF('Sổ Lệnh'!B:B,B5)</f>
        <v>4</v>
      </c>
      <c r="D5" s="27">
        <f>SUMIF('Sổ Lệnh'!B:B,B5,'Sổ Lệnh'!G:G)</f>
        <v>487100</v>
      </c>
      <c r="E5" s="28">
        <f>1000000-D5-SUMIF('Sổ Lệnh'!B:B,B5,'Sổ Lệnh'!K:K)</f>
        <v>512412.9</v>
      </c>
      <c r="F5" s="28">
        <f>SUMPRODUCT(('Sổ Lệnh'!B$4:B$994=B5)*('Sổ Lệnh'!D$4:D$994)*IFERROR(VLOOKUP('Sổ Lệnh'!C$4:C$994,'Bảng Giá'!A:C,3,FALSE()),0))</f>
        <v>463500</v>
      </c>
      <c r="G5" s="28">
        <f t="shared" si="1"/>
        <v>975912.9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>
      <c r="A6" s="26">
        <v>3.0</v>
      </c>
      <c r="B6" s="29" t="s">
        <v>28</v>
      </c>
      <c r="C6" s="26">
        <f>COUNTIF('Sổ Lệnh'!B:B,B6)</f>
        <v>6</v>
      </c>
      <c r="D6" s="27">
        <f>SUMIF('Sổ Lệnh'!B:B,B6,'Sổ Lệnh'!G:G)</f>
        <v>636650</v>
      </c>
      <c r="E6" s="28">
        <f>1000000-D6-SUMIF('Sổ Lệnh'!B:B,B6,'Sổ Lệnh'!K:K)</f>
        <v>362713.35</v>
      </c>
      <c r="F6" s="28">
        <f>SUMPRODUCT(('Sổ Lệnh'!B$4:B$994=B6)*('Sổ Lệnh'!D$4:D$994)*IFERROR(VLOOKUP('Sổ Lệnh'!C$4:C$994,'Bảng Giá'!A:C,3,FALSE()),0))</f>
        <v>630450</v>
      </c>
      <c r="G6" s="28">
        <f t="shared" si="1"/>
        <v>993163.35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>
      <c r="A7" s="26">
        <v>4.0</v>
      </c>
      <c r="B7" s="26" t="s">
        <v>32</v>
      </c>
      <c r="C7" s="26">
        <f>COUNTIF('Sổ Lệnh'!B:B,B7)</f>
        <v>2</v>
      </c>
      <c r="D7" s="27">
        <f>SUMIF('Sổ Lệnh'!B:B,B7,'Sổ Lệnh'!G:G)</f>
        <v>284250</v>
      </c>
      <c r="E7" s="28">
        <f>1000000-D7-SUMIF('Sổ Lệnh'!B:B,B7,'Sổ Lệnh'!K:K)</f>
        <v>715465.75</v>
      </c>
      <c r="F7" s="28">
        <f>SUMPRODUCT(('Sổ Lệnh'!B$4:B$994=B7)*('Sổ Lệnh'!D$4:D$994)*IFERROR(VLOOKUP('Sổ Lệnh'!C$4:C$994,'Bảng Giá'!A:C,3,FALSE()),0))</f>
        <v>296000</v>
      </c>
      <c r="G7" s="28">
        <f t="shared" si="1"/>
        <v>1011465.75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>
      <c r="A8" s="30">
        <v>5.0</v>
      </c>
      <c r="B8" s="30" t="s">
        <v>34</v>
      </c>
      <c r="C8" s="26">
        <f>COUNTIF('Sổ Lệnh'!B:B,B8)</f>
        <v>5</v>
      </c>
      <c r="D8" s="27">
        <f>SUMIF('Sổ Lệnh'!B:B,B8,'Sổ Lệnh'!G:G)</f>
        <v>1041200</v>
      </c>
      <c r="E8" s="28">
        <f>1000000-D8-SUMIF('Sổ Lệnh'!B:B,B8,'Sổ Lệnh'!K:K)</f>
        <v>-42241.2</v>
      </c>
      <c r="F8" s="28">
        <f>SUMPRODUCT(('Sổ Lệnh'!B$4:B$994=B8)*('Sổ Lệnh'!D$4:D$994)*IFERROR(VLOOKUP('Sổ Lệnh'!C$4:C$994,'Bảng Giá'!A:C,3,FALSE()),0))</f>
        <v>1089550</v>
      </c>
      <c r="G8" s="28">
        <f t="shared" si="1"/>
        <v>1047308.8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6.0"/>
    <col customWidth="1" min="4" max="4" width="14.0"/>
    <col customWidth="1" min="5" max="26" width="8.71"/>
  </cols>
  <sheetData>
    <row r="1">
      <c r="A1" s="1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4</v>
      </c>
      <c r="B3" s="32" t="s">
        <v>66</v>
      </c>
      <c r="C3" s="33" t="s">
        <v>67</v>
      </c>
      <c r="D3" s="31" t="s">
        <v>68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21</v>
      </c>
      <c r="B4" s="14">
        <v>16.15</v>
      </c>
      <c r="C4" s="14">
        <v>15.95</v>
      </c>
      <c r="D4" s="34">
        <f t="shared" ref="D4:D25" si="1">IF(OR(B4="",C4=""),"",(C4-B4)/B4)</f>
        <v>-0.01238390093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25</v>
      </c>
      <c r="B5" s="14">
        <v>128.7</v>
      </c>
      <c r="C5" s="14">
        <v>129.5</v>
      </c>
      <c r="D5" s="34">
        <f t="shared" si="1"/>
        <v>0.006216006216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27</v>
      </c>
      <c r="B6" s="14">
        <v>77.0</v>
      </c>
      <c r="C6" s="14">
        <v>74.0</v>
      </c>
      <c r="D6" s="34">
        <f t="shared" si="1"/>
        <v>-0.03896103896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29</v>
      </c>
      <c r="B7" s="14">
        <v>23.95</v>
      </c>
      <c r="C7" s="14">
        <v>23.3</v>
      </c>
      <c r="D7" s="34">
        <f t="shared" si="1"/>
        <v>-0.02713987474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30</v>
      </c>
      <c r="B8" s="14">
        <v>26.0</v>
      </c>
      <c r="C8" s="14">
        <v>25.75</v>
      </c>
      <c r="D8" s="34">
        <f t="shared" si="1"/>
        <v>-0.009615384615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31</v>
      </c>
      <c r="B9" s="14">
        <v>54.7</v>
      </c>
      <c r="C9" s="14">
        <v>49.1</v>
      </c>
      <c r="D9" s="34">
        <f t="shared" si="1"/>
        <v>-0.1023765996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33</v>
      </c>
      <c r="B10" s="14">
        <v>30.5</v>
      </c>
      <c r="C10" s="14">
        <v>33.1</v>
      </c>
      <c r="D10" s="34">
        <f t="shared" si="1"/>
        <v>0.08524590164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5" t="s">
        <v>35</v>
      </c>
      <c r="B11" s="35">
        <v>87.4</v>
      </c>
      <c r="C11" s="35">
        <v>92.6</v>
      </c>
      <c r="D11" s="36">
        <f t="shared" si="1"/>
        <v>0.05949656751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40</v>
      </c>
      <c r="B12" s="20">
        <v>79.1</v>
      </c>
      <c r="C12" s="20">
        <v>87.2</v>
      </c>
      <c r="D12" s="34">
        <f t="shared" si="1"/>
        <v>0.1024020228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 t="s">
        <v>42</v>
      </c>
      <c r="B13" s="20">
        <v>45.0</v>
      </c>
      <c r="C13" s="20">
        <v>44.8</v>
      </c>
      <c r="D13" s="34">
        <f t="shared" si="1"/>
        <v>-0.004444444444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 t="s">
        <v>44</v>
      </c>
      <c r="B14" s="20">
        <v>12.05</v>
      </c>
      <c r="C14" s="20">
        <v>12.1</v>
      </c>
      <c r="D14" s="34">
        <f t="shared" si="1"/>
        <v>0.004149377593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 t="s">
        <v>45</v>
      </c>
      <c r="B15" s="20">
        <v>29.5</v>
      </c>
      <c r="C15" s="20">
        <v>28.9</v>
      </c>
      <c r="D15" s="34">
        <f t="shared" si="1"/>
        <v>-0.02033898305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 t="s">
        <v>46</v>
      </c>
      <c r="B16" s="20">
        <v>15.95</v>
      </c>
      <c r="C16" s="20">
        <v>16.15</v>
      </c>
      <c r="D16" s="34">
        <f t="shared" si="1"/>
        <v>0.01253918495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7" t="s">
        <v>49</v>
      </c>
      <c r="B17" s="35">
        <v>27.4</v>
      </c>
      <c r="C17" s="35">
        <v>28.4</v>
      </c>
      <c r="D17" s="36">
        <f t="shared" si="1"/>
        <v>0.03649635036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 t="s">
        <v>50</v>
      </c>
      <c r="B18" s="20">
        <v>13.9</v>
      </c>
      <c r="C18" s="20">
        <v>14.3</v>
      </c>
      <c r="D18" s="34">
        <f t="shared" si="1"/>
        <v>0.02877697842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 t="s">
        <v>51</v>
      </c>
      <c r="B19" s="20">
        <v>18.5</v>
      </c>
      <c r="C19" s="20">
        <v>18.3</v>
      </c>
      <c r="D19" s="34">
        <f t="shared" si="1"/>
        <v>-0.01081081081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 t="s">
        <v>54</v>
      </c>
      <c r="B20" s="20">
        <v>81.2</v>
      </c>
      <c r="C20" s="20">
        <v>80.8</v>
      </c>
      <c r="D20" s="34">
        <f t="shared" si="1"/>
        <v>-0.004926108374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 t="s">
        <v>55</v>
      </c>
      <c r="B21" s="20">
        <v>26.35</v>
      </c>
      <c r="C21" s="20">
        <v>26.1</v>
      </c>
      <c r="D21" s="34">
        <f t="shared" si="1"/>
        <v>-0.009487666034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 t="s">
        <v>57</v>
      </c>
      <c r="B22" s="20">
        <v>11.25</v>
      </c>
      <c r="C22" s="20">
        <v>11.35</v>
      </c>
      <c r="D22" s="34">
        <f t="shared" si="1"/>
        <v>0.008888888889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/>
      <c r="B23" s="38"/>
      <c r="C23" s="38"/>
      <c r="D23" s="34" t="str">
        <f t="shared" si="1"/>
        <v/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7"/>
      <c r="B24" s="38"/>
      <c r="C24" s="38"/>
      <c r="D24" s="34" t="str">
        <f t="shared" si="1"/>
        <v/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7"/>
      <c r="B25" s="38"/>
      <c r="C25" s="38"/>
      <c r="D25" s="34" t="str">
        <f t="shared" si="1"/>
        <v/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3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3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3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3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3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3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3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3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3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3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3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3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3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3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3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3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3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3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3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3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3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3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3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3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3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3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3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3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3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3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3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3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3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3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3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3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3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3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3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3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3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3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3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3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3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3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3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3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3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3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3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3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3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3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3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3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3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3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3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3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3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3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3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3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3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3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3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3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3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3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3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3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3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3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3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3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3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3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3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3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3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3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3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3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3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3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3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3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3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3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3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3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3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3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3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3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3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3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3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3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3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3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3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3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3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3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3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3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3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3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3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3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3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3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3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3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3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3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3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3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3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3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3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3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3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3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3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3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3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3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3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3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3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3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3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3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3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3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3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3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3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3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3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3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3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3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3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3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3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3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3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3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3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3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3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3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3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3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3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3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3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3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3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3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3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3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3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3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3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3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3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3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3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3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3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3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3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3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3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3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3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3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3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3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3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3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3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3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3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3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3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3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3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3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3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3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3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3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3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3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3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3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3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3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3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3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3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3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3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3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3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3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3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3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3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3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3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3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3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3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3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3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3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3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3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3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3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3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3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3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3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3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3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3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3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3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3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3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3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3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3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3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3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3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3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3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3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3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3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3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3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3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3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3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3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3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3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3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3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3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3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3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3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3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3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3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3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3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3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3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3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3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3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3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3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3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3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3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3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3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3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3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3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3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3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3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3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3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3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3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3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3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3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3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3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3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3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3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3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3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3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3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3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3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3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3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3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3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3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3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3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3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3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3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3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3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3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3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3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3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3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3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3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3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3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3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3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3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3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3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3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3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3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3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3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3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3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3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3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3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3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3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3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3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3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3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3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3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3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3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3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3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3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3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3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3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3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3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3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3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3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3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3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3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3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3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3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3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3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3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3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3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3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3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3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3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3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3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3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3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3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3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3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3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3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3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3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3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3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3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3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3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3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3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3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3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3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3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3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3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3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3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3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3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3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3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3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3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3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3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3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3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3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3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3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3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3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3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3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3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3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3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3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3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3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3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3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3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3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3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3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3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3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3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3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3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3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3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3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3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3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3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3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3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3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3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3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3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3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3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3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3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3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3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3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3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3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3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3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3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3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3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3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3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3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3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3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3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3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3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3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3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3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3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3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3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3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3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3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3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3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3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3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3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3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3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3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3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3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3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3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3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3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3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3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3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3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3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3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3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3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3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3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3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3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3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3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3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3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3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3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3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3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3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3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3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3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3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3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3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3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3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3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3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3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3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3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3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3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3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3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3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3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3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3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3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3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3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3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3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3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3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3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3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3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3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3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3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3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3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3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3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3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3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3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3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3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3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3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3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3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3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3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3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3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3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3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3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3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3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3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3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3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3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3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3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3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3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3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3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3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3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3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3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3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3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3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3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3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3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3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3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3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3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3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3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3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3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3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3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3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3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3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3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3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3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3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3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3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3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3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3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3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3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3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3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3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3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3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3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3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3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3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3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3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3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3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3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3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3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3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3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3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3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3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3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3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3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3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3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3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3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3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3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3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3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3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3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3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3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3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3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3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3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3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3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3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3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3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3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3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3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3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3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3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3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3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3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3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3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3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3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3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3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3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3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3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3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3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3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3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3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3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3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3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3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3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3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3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3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3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3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3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3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3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3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3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3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3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3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3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3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3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3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3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3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3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3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3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3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3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3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3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3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3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3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3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3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3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3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3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3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3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3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3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3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3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3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3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3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3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3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3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3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3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3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3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3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3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3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3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3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3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3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3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3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3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3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3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3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3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3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3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3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3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3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3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3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3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3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3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3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3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3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3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3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3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3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3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3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3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3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3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3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3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3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3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3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3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3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3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3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3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3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3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3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3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3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3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3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3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3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3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3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3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3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3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3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3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3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3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3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3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3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3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3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3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3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3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3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3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3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3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3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3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3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3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3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3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3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3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3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3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3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3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3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3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3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3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3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3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3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3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3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3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3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3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3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3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3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3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3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3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3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3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3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3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3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3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3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3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2026-03-25T07:54:35Z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